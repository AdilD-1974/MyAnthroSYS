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lge\OneDrive\Bureau\"/>
    </mc:Choice>
  </mc:AlternateContent>
  <xr:revisionPtr revIDLastSave="0" documentId="13_ncr:1_{603B09F4-D1E7-4E3B-99C7-2086B8AD9279}" xr6:coauthVersionLast="47" xr6:coauthVersionMax="47" xr10:uidLastSave="{00000000-0000-0000-0000-000000000000}"/>
  <bookViews>
    <workbookView xWindow="-120" yWindow="-120" windowWidth="29040" windowHeight="15720" xr2:uid="{B7C9AA8E-6844-4D95-8B19-AC0664C5769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F18" i="1"/>
  <c r="E4" i="1"/>
  <c r="F15" i="1"/>
  <c r="G15" i="1"/>
  <c r="E3" i="1"/>
  <c r="E5" i="1"/>
  <c r="E6" i="1"/>
  <c r="E7" i="1"/>
  <c r="E8" i="1"/>
  <c r="E9" i="1"/>
  <c r="E10" i="1"/>
  <c r="E11" i="1"/>
  <c r="E12" i="1"/>
  <c r="E13" i="1"/>
  <c r="E2" i="1"/>
  <c r="E15" i="1" l="1"/>
</calcChain>
</file>

<file path=xl/sharedStrings.xml><?xml version="1.0" encoding="utf-8"?>
<sst xmlns="http://schemas.openxmlformats.org/spreadsheetml/2006/main" count="43" uniqueCount="29">
  <si>
    <t>Phase 1 : Initiation du Projet</t>
  </si>
  <si>
    <t>Phase 2 : Planification</t>
  </si>
  <si>
    <t>Phase 3 : Exécution</t>
  </si>
  <si>
    <t>Phase 4 : Contrôle et Surveillance</t>
  </si>
  <si>
    <t>Phase 5 : Clôture</t>
  </si>
  <si>
    <t>Phase</t>
  </si>
  <si>
    <t>Description</t>
  </si>
  <si>
    <t>Acteur</t>
  </si>
  <si>
    <t>JH</t>
  </si>
  <si>
    <t>Identifie le besoin d'un nouveau SIRH pour répondre à des enjeux stratégiques.</t>
  </si>
  <si>
    <t>Aide à définir les objectifs du projet, en alignement avec la stratégie de l'entreprise.</t>
  </si>
  <si>
    <t>Valide les documents et s'assure que les besoins sont correctement exprimés.</t>
  </si>
  <si>
    <t>MOE (Équipe Technique ou Intégrateur)</t>
  </si>
  <si>
    <t>Prend en charge la réalisation technique du projet en se basant sur les spécifications fournies.</t>
  </si>
  <si>
    <r>
      <rPr>
        <b/>
        <sz val="9"/>
        <color theme="1"/>
        <rFont val="Tenorite"/>
      </rPr>
      <t>Analyse des Besoins</t>
    </r>
    <r>
      <rPr>
        <sz val="9"/>
        <color theme="1"/>
        <rFont val="Tenorite"/>
      </rPr>
      <t xml:space="preserve"> : Organise des ateliers avec les équipes RH pour recueillir et formaliser les exigences.</t>
    </r>
  </si>
  <si>
    <r>
      <rPr>
        <b/>
        <sz val="9"/>
        <color theme="1"/>
        <rFont val="Tenorite"/>
      </rPr>
      <t>Rédaction du Cahier des Charges</t>
    </r>
    <r>
      <rPr>
        <sz val="9"/>
        <color theme="1"/>
        <rFont val="Tenorite"/>
      </rPr>
      <t xml:space="preserve"> : Rédige les documents de spécifications fonctionnelles.</t>
    </r>
  </si>
  <si>
    <r>
      <rPr>
        <b/>
        <sz val="9"/>
        <color theme="1"/>
        <rFont val="Tenorite"/>
      </rPr>
      <t>Coordination</t>
    </r>
    <r>
      <rPr>
        <sz val="9"/>
        <color theme="1"/>
        <rFont val="Tenorite"/>
      </rPr>
      <t xml:space="preserve"> : Facilite la communication entre la MOA et la MOE.</t>
    </r>
  </si>
  <si>
    <r>
      <rPr>
        <b/>
        <sz val="9"/>
        <color theme="1"/>
        <rFont val="Tenorite"/>
      </rPr>
      <t>Suivi du Projet</t>
    </r>
    <r>
      <rPr>
        <sz val="9"/>
        <color theme="1"/>
        <rFont val="Tenorite"/>
      </rPr>
      <t xml:space="preserve"> : Utilise les outils de gestion de projet (selon le PMI PMBOK) pour suivre l'avancement, gérer les risques et les délais.</t>
    </r>
  </si>
  <si>
    <r>
      <rPr>
        <b/>
        <sz val="9"/>
        <color theme="1"/>
        <rFont val="Tenorite"/>
      </rPr>
      <t>Recette Fonctionnelle</t>
    </r>
    <r>
      <rPr>
        <sz val="9"/>
        <color theme="1"/>
        <rFont val="Tenorite"/>
      </rPr>
      <t xml:space="preserve"> : Organise et supervise les tests pour s'assurer que le système répond aux exigences.</t>
    </r>
  </si>
  <si>
    <r>
      <rPr>
        <b/>
        <sz val="9"/>
        <color theme="1"/>
        <rFont val="Tenorite"/>
      </rPr>
      <t>Gestion du Changement</t>
    </r>
    <r>
      <rPr>
        <sz val="9"/>
        <color theme="1"/>
        <rFont val="Tenorite"/>
      </rPr>
      <t xml:space="preserve"> : Prépare les plans de formation et de communication pour faciliter l'adoption du nouveau système.</t>
    </r>
  </si>
  <si>
    <r>
      <rPr>
        <b/>
        <sz val="9"/>
        <color theme="1"/>
        <rFont val="Tenorite"/>
      </rPr>
      <t>Validation Finale</t>
    </r>
    <r>
      <rPr>
        <sz val="9"/>
        <color theme="1"/>
        <rFont val="Tenorite"/>
      </rPr>
      <t xml:space="preserve"> : S'assure que tous les livrables sont conformes et que les objectifs du projet sont atteints.</t>
    </r>
  </si>
  <si>
    <r>
      <rPr>
        <b/>
        <sz val="9"/>
        <color theme="1"/>
        <rFont val="Tenorite"/>
      </rPr>
      <t>Retour d'Expérience</t>
    </r>
    <r>
      <rPr>
        <sz val="9"/>
        <color theme="1"/>
        <rFont val="Tenorite"/>
      </rPr>
      <t xml:space="preserve"> : Organise des sessions pour capitaliser sur les leçons apprises.</t>
    </r>
  </si>
  <si>
    <t xml:space="preserve">MOA (Direction RH)  </t>
  </si>
  <si>
    <t xml:space="preserve">AMOA SIRH  </t>
  </si>
  <si>
    <t xml:space="preserve">AMOA SIRH </t>
  </si>
  <si>
    <t xml:space="preserve">MOA  </t>
  </si>
  <si>
    <t>SENIOR</t>
  </si>
  <si>
    <t>JUNIOR</t>
  </si>
  <si>
    <t>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</si>
</sst>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??\ _€_-;_-@_-"/>
    <numFmt numFmtId="165" formatCode="_-* #,##0\ _€_-;\-* #,##0\ _€_-;_-* &quot;-&quot;\ _€_-;_-@_-"/>
  </numFmts>
  <fonts count="8" x14ac:knownFonts="1"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Tenorite"/>
    </font>
    <font>
      <b/>
      <sz val="9"/>
      <color theme="1"/>
      <name val="Tenorite"/>
    </font>
    <font>
      <b/>
      <sz val="9"/>
      <color rgb="FF002060"/>
      <name val="Aptos Narrow"/>
      <family val="2"/>
      <scheme val="minor"/>
    </font>
    <font>
      <b/>
      <sz val="9"/>
      <color theme="3" tint="0.249977111117893"/>
      <name val="Aptos Narrow"/>
      <family val="2"/>
      <scheme val="minor"/>
    </font>
    <font>
      <b/>
      <sz val="11"/>
      <color theme="4" tint="-0.249977111117893"/>
      <name val="Tenorite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4" fontId="5" fillId="0" borderId="0" xfId="0" applyNumberFormat="1" applyFont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65" fontId="0" fillId="0" borderId="0" xfId="0" applyNumberFormat="1" applyAlignment="1">
      <alignment vertical="center"/>
    </xf>
    <xf numFmtId="0" fontId="6" fillId="2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8">
    <dxf>
      <numFmt numFmtId="165" formatCode="_-* #,##0\ _€_-;\-* #,##0\ _€_-;_-* &quot;-&quot;\ _€_-;_-@_-"/>
      <alignment vertical="center" textRotation="0" indent="0" justifyLastLine="0" shrinkToFit="0" readingOrder="0"/>
    </dxf>
    <dxf>
      <numFmt numFmtId="165" formatCode="_-* #,##0\ _€_-;\-* #,##0\ _€_-;_-* &quot;-&quot;\ _€_-;_-@_-"/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2060"/>
        <name val="Aptos Narrow"/>
        <family val="2"/>
        <scheme val="minor"/>
      </font>
      <numFmt numFmtId="164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enorite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enorite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235CC1-B098-4BE1-873C-C7CC9E4C2B10}" name="Tableau1" displayName="Tableau1" ref="B1:G13" totalsRowShown="0" headerRowDxfId="7" dataDxfId="6">
  <autoFilter ref="B1:G13" xr:uid="{29235CC1-B098-4BE1-873C-C7CC9E4C2B10}">
    <filterColumn colId="1">
      <filters>
        <filter val="AMOA SIRH"/>
      </filters>
    </filterColumn>
  </autoFilter>
  <tableColumns count="6">
    <tableColumn id="1" xr3:uid="{24E664E7-0E97-46FE-AE04-3DE7F9BDEDE9}" name="Phase" dataDxfId="5"/>
    <tableColumn id="2" xr3:uid="{8E3B8F94-4109-495F-9BC7-F8CFA37A1554}" name="Acteur" dataDxfId="4"/>
    <tableColumn id="3" xr3:uid="{45E69248-5084-449C-84DD-C68253797777}" name="Description" dataDxfId="3"/>
    <tableColumn id="4" xr3:uid="{C557EBB8-A8F9-463F-B1FE-3C36343C6430}" name="JH" dataDxfId="2">
      <calculatedColumnFormula>SUM(Tableau1[[#This Row],[SENIOR]:[JUNIOR]])</calculatedColumnFormula>
    </tableColumn>
    <tableColumn id="5" xr3:uid="{0A8F7230-E8BD-4EC6-818A-44BFAF4CEFDD}" name="SENIOR" dataDxfId="1"/>
    <tableColumn id="6" xr3:uid="{58C3AEC2-DA3F-45CF-8D68-EB3F5F840839}" name="JUNIOR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1F275-2C57-4E8F-BF3C-976F80492486}">
  <dimension ref="B1:G18"/>
  <sheetViews>
    <sheetView tabSelected="1" zoomScale="83" workbookViewId="0">
      <selection activeCell="F14" sqref="F14"/>
    </sheetView>
  </sheetViews>
  <sheetFormatPr baseColWidth="10" defaultColWidth="11.5" defaultRowHeight="12" x14ac:dyDescent="0.2"/>
  <cols>
    <col min="1" max="1" width="1.1640625" style="5" customWidth="1"/>
    <col min="2" max="2" width="27.6640625" style="5" bestFit="1" customWidth="1"/>
    <col min="3" max="3" width="28.33203125" style="5" bestFit="1" customWidth="1"/>
    <col min="4" max="4" width="128" style="5" bestFit="1" customWidth="1"/>
    <col min="5" max="5" width="11.5" style="5"/>
    <col min="6" max="6" width="14.5" style="5" bestFit="1" customWidth="1"/>
    <col min="7" max="16384" width="11.5" style="5"/>
  </cols>
  <sheetData>
    <row r="1" spans="2:7" ht="13.5" x14ac:dyDescent="0.2">
      <c r="B1" s="1" t="s">
        <v>5</v>
      </c>
      <c r="C1" s="1" t="s">
        <v>7</v>
      </c>
      <c r="D1" s="1" t="s">
        <v>6</v>
      </c>
      <c r="E1" s="1" t="s">
        <v>8</v>
      </c>
      <c r="F1" s="1" t="s">
        <v>26</v>
      </c>
      <c r="G1" s="1" t="s">
        <v>27</v>
      </c>
    </row>
    <row r="2" spans="2:7" hidden="1" x14ac:dyDescent="0.2">
      <c r="B2" s="6" t="s">
        <v>0</v>
      </c>
      <c r="C2" s="7" t="s">
        <v>22</v>
      </c>
      <c r="D2" s="2" t="s">
        <v>9</v>
      </c>
      <c r="E2" s="3">
        <f>SUM(Tableau1[[#This Row],[SENIOR]:[JUNIOR]])</f>
        <v>0</v>
      </c>
      <c r="F2" s="8">
        <v>0</v>
      </c>
      <c r="G2" s="8">
        <v>0</v>
      </c>
    </row>
    <row r="3" spans="2:7" x14ac:dyDescent="0.2">
      <c r="B3" s="6" t="s">
        <v>0</v>
      </c>
      <c r="C3" s="7" t="s">
        <v>23</v>
      </c>
      <c r="D3" s="2" t="s">
        <v>10</v>
      </c>
      <c r="E3" s="3">
        <f>SUM(Tableau1[[#This Row],[SENIOR]:[JUNIOR]])</f>
        <v>3</v>
      </c>
      <c r="F3" s="8">
        <v>3</v>
      </c>
      <c r="G3" s="8">
        <v>0</v>
      </c>
    </row>
    <row r="4" spans="2:7" x14ac:dyDescent="0.2">
      <c r="B4" s="6" t="s">
        <v>1</v>
      </c>
      <c r="C4" s="7" t="s">
        <v>24</v>
      </c>
      <c r="D4" s="2" t="s">
        <v>14</v>
      </c>
      <c r="E4" s="3">
        <f>SUM(Tableau1[[#This Row],[SENIOR]:[JUNIOR]])</f>
        <v>6</v>
      </c>
      <c r="F4" s="8">
        <v>6</v>
      </c>
      <c r="G4" s="8">
        <v>0</v>
      </c>
    </row>
    <row r="5" spans="2:7" x14ac:dyDescent="0.2">
      <c r="B5" s="6" t="s">
        <v>1</v>
      </c>
      <c r="C5" s="7" t="s">
        <v>24</v>
      </c>
      <c r="D5" s="2" t="s">
        <v>15</v>
      </c>
      <c r="E5" s="3">
        <f>SUM(Tableau1[[#This Row],[SENIOR]:[JUNIOR]])</f>
        <v>12</v>
      </c>
      <c r="F5" s="8">
        <v>0</v>
      </c>
      <c r="G5" s="8">
        <v>12</v>
      </c>
    </row>
    <row r="6" spans="2:7" hidden="1" x14ac:dyDescent="0.2">
      <c r="B6" s="6" t="s">
        <v>1</v>
      </c>
      <c r="C6" s="7" t="s">
        <v>25</v>
      </c>
      <c r="D6" s="2" t="s">
        <v>11</v>
      </c>
      <c r="E6" s="3">
        <f>SUM(Tableau1[[#This Row],[SENIOR]:[JUNIOR]])</f>
        <v>0</v>
      </c>
      <c r="F6" s="8">
        <v>0</v>
      </c>
      <c r="G6" s="8">
        <v>0</v>
      </c>
    </row>
    <row r="7" spans="2:7" ht="24" hidden="1" x14ac:dyDescent="0.2">
      <c r="B7" s="6" t="s">
        <v>2</v>
      </c>
      <c r="C7" s="7" t="s">
        <v>12</v>
      </c>
      <c r="D7" s="2" t="s">
        <v>13</v>
      </c>
      <c r="E7" s="3">
        <f>SUM(Tableau1[[#This Row],[SENIOR]:[JUNIOR]])</f>
        <v>0</v>
      </c>
      <c r="F7" s="8">
        <v>0</v>
      </c>
      <c r="G7" s="8">
        <v>0</v>
      </c>
    </row>
    <row r="8" spans="2:7" x14ac:dyDescent="0.2">
      <c r="B8" s="6" t="s">
        <v>2</v>
      </c>
      <c r="C8" s="7" t="s">
        <v>23</v>
      </c>
      <c r="D8" s="2" t="s">
        <v>16</v>
      </c>
      <c r="E8" s="3">
        <f>SUM(Tableau1[[#This Row],[SENIOR]:[JUNIOR]])</f>
        <v>10</v>
      </c>
      <c r="F8" s="8">
        <v>5</v>
      </c>
      <c r="G8" s="8">
        <v>5</v>
      </c>
    </row>
    <row r="9" spans="2:7" x14ac:dyDescent="0.2">
      <c r="B9" s="6" t="s">
        <v>2</v>
      </c>
      <c r="C9" s="7" t="s">
        <v>23</v>
      </c>
      <c r="D9" s="2" t="s">
        <v>17</v>
      </c>
      <c r="E9" s="3">
        <f>SUM(Tableau1[[#This Row],[SENIOR]:[JUNIOR]])</f>
        <v>5</v>
      </c>
      <c r="F9" s="8">
        <v>5</v>
      </c>
      <c r="G9" s="8">
        <v>0</v>
      </c>
    </row>
    <row r="10" spans="2:7" x14ac:dyDescent="0.2">
      <c r="B10" s="6" t="s">
        <v>3</v>
      </c>
      <c r="C10" s="7" t="s">
        <v>24</v>
      </c>
      <c r="D10" s="2" t="s">
        <v>18</v>
      </c>
      <c r="E10" s="3">
        <f>SUM(Tableau1[[#This Row],[SENIOR]:[JUNIOR]])</f>
        <v>15</v>
      </c>
      <c r="F10" s="8">
        <v>5</v>
      </c>
      <c r="G10" s="8">
        <v>10</v>
      </c>
    </row>
    <row r="11" spans="2:7" x14ac:dyDescent="0.2">
      <c r="B11" s="6" t="s">
        <v>3</v>
      </c>
      <c r="C11" s="7" t="s">
        <v>24</v>
      </c>
      <c r="D11" s="2" t="s">
        <v>19</v>
      </c>
      <c r="E11" s="3">
        <f>SUM(Tableau1[[#This Row],[SENIOR]:[JUNIOR]])</f>
        <v>10</v>
      </c>
      <c r="F11" s="8">
        <v>5</v>
      </c>
      <c r="G11" s="8">
        <v>5</v>
      </c>
    </row>
    <row r="12" spans="2:7" x14ac:dyDescent="0.2">
      <c r="B12" s="6" t="s">
        <v>4</v>
      </c>
      <c r="C12" s="7" t="s">
        <v>24</v>
      </c>
      <c r="D12" s="2" t="s">
        <v>20</v>
      </c>
      <c r="E12" s="3">
        <f>SUM(Tableau1[[#This Row],[SENIOR]:[JUNIOR]])</f>
        <v>0</v>
      </c>
      <c r="F12" s="8">
        <v>0</v>
      </c>
      <c r="G12" s="8">
        <v>0</v>
      </c>
    </row>
    <row r="13" spans="2:7" x14ac:dyDescent="0.2">
      <c r="B13" s="6" t="s">
        <v>4</v>
      </c>
      <c r="C13" s="7" t="s">
        <v>24</v>
      </c>
      <c r="D13" s="2" t="s">
        <v>21</v>
      </c>
      <c r="E13" s="3">
        <f>SUM(Tableau1[[#This Row],[SENIOR]:[JUNIOR]])</f>
        <v>0</v>
      </c>
      <c r="F13" s="8">
        <v>0</v>
      </c>
      <c r="G13" s="8">
        <v>0</v>
      </c>
    </row>
    <row r="15" spans="2:7" x14ac:dyDescent="0.2">
      <c r="E15" s="9">
        <f>SUBTOTAL(9,E2:E13)</f>
        <v>61</v>
      </c>
      <c r="F15" s="10">
        <f t="shared" ref="F15:G15" si="0">SUBTOTAL(9,F2:F13)</f>
        <v>29</v>
      </c>
      <c r="G15" s="11">
        <f t="shared" si="0"/>
        <v>32</v>
      </c>
    </row>
    <row r="17" spans="5:7" x14ac:dyDescent="0.2">
      <c r="F17" s="3">
        <v>4500</v>
      </c>
      <c r="G17" s="3">
        <v>3500</v>
      </c>
    </row>
    <row r="18" spans="5:7" ht="15" x14ac:dyDescent="0.2">
      <c r="E18" s="12" t="s">
        <v>28</v>
      </c>
      <c r="F18" s="4">
        <f>+F15*F17</f>
        <v>130500</v>
      </c>
      <c r="G18" s="4">
        <f>+G17*G15</f>
        <v>112000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V4539</dc:creator>
  <cp:lastModifiedBy>ADIL DAIA</cp:lastModifiedBy>
  <dcterms:created xsi:type="dcterms:W3CDTF">2025-04-09T10:50:25Z</dcterms:created>
  <dcterms:modified xsi:type="dcterms:W3CDTF">2025-04-23T09:25:26Z</dcterms:modified>
</cp:coreProperties>
</file>